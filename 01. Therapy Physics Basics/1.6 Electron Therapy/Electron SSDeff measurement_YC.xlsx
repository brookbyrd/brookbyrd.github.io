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Medical Physics Residency\Teaching Material\Electron_Dosimetry\Effective SSD measurement_2021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E16" i="1"/>
  <c r="E17" i="1"/>
  <c r="E18" i="1"/>
  <c r="E19" i="1"/>
  <c r="E20" i="1"/>
  <c r="E21" i="1"/>
  <c r="E22" i="1"/>
  <c r="E15" i="1"/>
  <c r="A18" i="1" l="1"/>
  <c r="A16" i="1"/>
  <c r="A17" i="1"/>
  <c r="A19" i="1"/>
  <c r="A20" i="1"/>
  <c r="A21" i="1"/>
  <c r="A22" i="1"/>
  <c r="A15" i="1"/>
  <c r="B30" i="1" l="1"/>
  <c r="F22" i="1"/>
  <c r="F21" i="1"/>
  <c r="F20" i="1"/>
  <c r="F19" i="1"/>
  <c r="F18" i="1"/>
</calcChain>
</file>

<file path=xl/sharedStrings.xml><?xml version="1.0" encoding="utf-8"?>
<sst xmlns="http://schemas.openxmlformats.org/spreadsheetml/2006/main" count="27" uniqueCount="27">
  <si>
    <t>Pt. MCCOACH, MICHELLE</t>
  </si>
  <si>
    <t>Course</t>
  </si>
  <si>
    <t>Plan</t>
  </si>
  <si>
    <t>C11 Left Nasal</t>
  </si>
  <si>
    <t>INITIAL</t>
  </si>
  <si>
    <t>Applicator</t>
  </si>
  <si>
    <t>A10</t>
  </si>
  <si>
    <t>Cutout</t>
  </si>
  <si>
    <t>Purpose</t>
  </si>
  <si>
    <t>correct dose output as function of air gap between the applicator end and the patient surface</t>
  </si>
  <si>
    <t>MRN</t>
  </si>
  <si>
    <t>Device</t>
  </si>
  <si>
    <t>() ion chamber</t>
  </si>
  <si>
    <t>() solid water</t>
  </si>
  <si>
    <t>Gap(cm)</t>
  </si>
  <si>
    <r>
      <t>sqrt(I</t>
    </r>
    <r>
      <rPr>
        <b/>
        <sz val="10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/I)</t>
    </r>
  </si>
  <si>
    <t>Slope</t>
  </si>
  <si>
    <r>
      <t>SSD</t>
    </r>
    <r>
      <rPr>
        <b/>
        <vertAlign val="subscript"/>
        <sz val="14"/>
        <color rgb="FF595959"/>
        <rFont val="Calibri"/>
        <family val="2"/>
        <scheme val="minor"/>
      </rPr>
      <t>eff</t>
    </r>
  </si>
  <si>
    <t>Energy</t>
  </si>
  <si>
    <t>6E</t>
  </si>
  <si>
    <t>SSD (cm)</t>
  </si>
  <si>
    <t>4.5cm</t>
  </si>
  <si>
    <t>dm</t>
  </si>
  <si>
    <t>Reading (nC)</t>
  </si>
  <si>
    <t>MU/</t>
  </si>
  <si>
    <t>reading 1</t>
  </si>
  <si>
    <t>reading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</si>
</sst>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4"/>
      <color rgb="FF595959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Determination</a:t>
            </a:r>
            <a:r>
              <a:rPr lang="en-US" baseline="0"/>
              <a:t> of SSD</a:t>
            </a:r>
            <a:r>
              <a:rPr lang="en-US" sz="1400" baseline="-25000"/>
              <a:t>eff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428915135608049E-2"/>
                  <c:y val="-0.512090988626421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Sheet1!$B$15:$B$22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</c:numCache>
            </c:numRef>
          </c:xVal>
          <c:yVal>
            <c:numRef>
              <c:f>Sheet1!$F$15:$F$22</c:f>
              <c:numCache>
                <c:formatCode>General</c:formatCode>
                <c:ptCount val="8"/>
                <c:pt idx="0">
                  <c:v>1</c:v>
                </c:pt>
                <c:pt idx="1">
                  <c:v>1.0450849812809637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5-4309-BDAD-F926391C5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16736"/>
        <c:axId val="210416080"/>
      </c:scatterChart>
      <c:valAx>
        <c:axId val="21041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6080"/>
        <c:crosses val="autoZero"/>
        <c:crossBetween val="midCat"/>
      </c:valAx>
      <c:valAx>
        <c:axId val="2104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sqrt(I0/I)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10</xdr:row>
      <xdr:rowOff>114300</xdr:rowOff>
    </xdr:from>
    <xdr:to>
      <xdr:col>14</xdr:col>
      <xdr:colOff>523875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D17" sqref="D17"/>
    </sheetView>
  </sheetViews>
  <sheetFormatPr defaultRowHeight="15" x14ac:dyDescent="0.25"/>
  <cols>
    <col min="1" max="1" width="11.85546875" customWidth="1"/>
    <col min="2" max="4" width="14.7109375" customWidth="1"/>
    <col min="5" max="5" width="15.7109375" customWidth="1"/>
    <col min="6" max="6" width="13.28515625" customWidth="1"/>
  </cols>
  <sheetData>
    <row r="1" spans="1:6" x14ac:dyDescent="0.25">
      <c r="A1" s="2" t="s">
        <v>0</v>
      </c>
      <c r="B1" s="3"/>
      <c r="C1" s="3"/>
      <c r="D1" s="3"/>
    </row>
    <row r="2" spans="1:6" x14ac:dyDescent="0.25">
      <c r="A2" s="1" t="s">
        <v>10</v>
      </c>
      <c r="B2" s="4">
        <v>58071150</v>
      </c>
      <c r="C2" s="4"/>
      <c r="D2" s="4"/>
    </row>
    <row r="3" spans="1:6" x14ac:dyDescent="0.25">
      <c r="A3" s="2" t="s">
        <v>1</v>
      </c>
      <c r="B3" s="3" t="s">
        <v>3</v>
      </c>
      <c r="C3" s="3"/>
      <c r="D3" s="3"/>
    </row>
    <row r="4" spans="1:6" x14ac:dyDescent="0.25">
      <c r="A4" s="2" t="s">
        <v>2</v>
      </c>
      <c r="B4" s="3" t="s">
        <v>4</v>
      </c>
      <c r="C4" s="3"/>
      <c r="D4" s="3"/>
    </row>
    <row r="5" spans="1:6" x14ac:dyDescent="0.25">
      <c r="A5" s="2"/>
      <c r="B5" s="3"/>
      <c r="C5" s="3"/>
      <c r="D5" s="3"/>
    </row>
    <row r="6" spans="1:6" x14ac:dyDescent="0.25">
      <c r="A6" s="2" t="s">
        <v>8</v>
      </c>
      <c r="B6" t="s">
        <v>9</v>
      </c>
    </row>
    <row r="7" spans="1:6" x14ac:dyDescent="0.25">
      <c r="A7" s="2" t="s">
        <v>5</v>
      </c>
      <c r="B7" t="s">
        <v>6</v>
      </c>
    </row>
    <row r="8" spans="1:6" x14ac:dyDescent="0.25">
      <c r="A8" s="2" t="s">
        <v>7</v>
      </c>
      <c r="B8" s="3" t="s">
        <v>21</v>
      </c>
      <c r="C8" s="3"/>
      <c r="D8" s="3"/>
    </row>
    <row r="9" spans="1:6" x14ac:dyDescent="0.25">
      <c r="A9" s="2" t="s">
        <v>18</v>
      </c>
      <c r="B9" t="s">
        <v>19</v>
      </c>
    </row>
    <row r="10" spans="1:6" x14ac:dyDescent="0.25">
      <c r="A10" s="2" t="s">
        <v>11</v>
      </c>
      <c r="B10" t="s">
        <v>12</v>
      </c>
      <c r="E10" t="s">
        <v>13</v>
      </c>
    </row>
    <row r="11" spans="1:6" x14ac:dyDescent="0.25">
      <c r="A11" s="1" t="s">
        <v>22</v>
      </c>
      <c r="B11">
        <v>1.5</v>
      </c>
    </row>
    <row r="12" spans="1:6" x14ac:dyDescent="0.25">
      <c r="A12" s="2" t="s">
        <v>24</v>
      </c>
      <c r="B12">
        <v>300</v>
      </c>
    </row>
    <row r="13" spans="1:6" x14ac:dyDescent="0.25">
      <c r="A13" s="8"/>
    </row>
    <row r="14" spans="1:6" x14ac:dyDescent="0.25">
      <c r="A14" s="5" t="s">
        <v>20</v>
      </c>
      <c r="B14" s="5" t="s">
        <v>14</v>
      </c>
      <c r="C14" s="5" t="s">
        <v>25</v>
      </c>
      <c r="D14" s="5" t="s">
        <v>26</v>
      </c>
      <c r="E14" s="5" t="s">
        <v>23</v>
      </c>
      <c r="F14" s="5" t="s">
        <v>15</v>
      </c>
    </row>
    <row r="15" spans="1:6" x14ac:dyDescent="0.25">
      <c r="A15" s="6">
        <f>100+B15</f>
        <v>100</v>
      </c>
      <c r="B15" s="6">
        <v>0</v>
      </c>
      <c r="C15" s="6">
        <v>1.919</v>
      </c>
      <c r="D15" s="6">
        <v>1.919</v>
      </c>
      <c r="E15">
        <f>AVERAGE(C15:D15)</f>
        <v>1.919</v>
      </c>
      <c r="F15" s="6">
        <v>1</v>
      </c>
    </row>
    <row r="16" spans="1:6" x14ac:dyDescent="0.25">
      <c r="A16" s="6">
        <f t="shared" ref="A16:A22" si="0">100+B16</f>
        <v>103</v>
      </c>
      <c r="B16" s="6">
        <v>3</v>
      </c>
      <c r="C16" s="6">
        <v>1.7569999999999999</v>
      </c>
      <c r="D16" s="6">
        <v>1.7569999999999999</v>
      </c>
      <c r="E16">
        <f t="shared" ref="E16:E22" si="1">AVERAGE(C16:D16)</f>
        <v>1.7569999999999999</v>
      </c>
      <c r="F16">
        <f>SQRT(E15/E16)</f>
        <v>1.0450849812809637</v>
      </c>
    </row>
    <row r="17" spans="1:6" x14ac:dyDescent="0.25">
      <c r="A17" s="6">
        <f t="shared" si="0"/>
        <v>106</v>
      </c>
      <c r="B17" s="6">
        <v>6</v>
      </c>
      <c r="C17" s="6"/>
      <c r="D17" s="6"/>
      <c r="E17" t="e">
        <f t="shared" si="1"/>
        <v>#DIV/0!</v>
      </c>
      <c r="F17" t="e">
        <f>SQRT(E15/E17)</f>
        <v>#DIV/0!</v>
      </c>
    </row>
    <row r="18" spans="1:6" x14ac:dyDescent="0.25">
      <c r="A18" s="6">
        <f>100+B18</f>
        <v>109</v>
      </c>
      <c r="B18" s="6">
        <v>9</v>
      </c>
      <c r="C18" s="6"/>
      <c r="D18" s="6"/>
      <c r="E18" t="e">
        <f t="shared" si="1"/>
        <v>#DIV/0!</v>
      </c>
      <c r="F18" t="e">
        <f>SQRT(C15/E18)</f>
        <v>#DIV/0!</v>
      </c>
    </row>
    <row r="19" spans="1:6" x14ac:dyDescent="0.25">
      <c r="A19" s="6">
        <f t="shared" si="0"/>
        <v>112</v>
      </c>
      <c r="B19" s="6">
        <v>12</v>
      </c>
      <c r="C19" s="6"/>
      <c r="D19" s="6"/>
      <c r="E19" t="e">
        <f t="shared" si="1"/>
        <v>#DIV/0!</v>
      </c>
      <c r="F19" t="e">
        <f>SQRT(C15/E19)</f>
        <v>#DIV/0!</v>
      </c>
    </row>
    <row r="20" spans="1:6" x14ac:dyDescent="0.25">
      <c r="A20" s="6">
        <f t="shared" si="0"/>
        <v>115</v>
      </c>
      <c r="B20" s="6">
        <v>15</v>
      </c>
      <c r="C20" s="6"/>
      <c r="D20" s="6"/>
      <c r="E20" t="e">
        <f t="shared" si="1"/>
        <v>#DIV/0!</v>
      </c>
      <c r="F20" t="e">
        <f>SQRT(C15/E20)</f>
        <v>#DIV/0!</v>
      </c>
    </row>
    <row r="21" spans="1:6" x14ac:dyDescent="0.25">
      <c r="A21" s="6">
        <f t="shared" si="0"/>
        <v>118</v>
      </c>
      <c r="B21" s="6">
        <v>18</v>
      </c>
      <c r="C21" s="6"/>
      <c r="D21" s="6"/>
      <c r="E21" t="e">
        <f t="shared" si="1"/>
        <v>#DIV/0!</v>
      </c>
      <c r="F21" t="e">
        <f>SQRT(C15/E21)</f>
        <v>#DIV/0!</v>
      </c>
    </row>
    <row r="22" spans="1:6" x14ac:dyDescent="0.25">
      <c r="A22" s="6">
        <f t="shared" si="0"/>
        <v>120</v>
      </c>
      <c r="B22" s="6">
        <v>20</v>
      </c>
      <c r="C22" s="6"/>
      <c r="D22" s="6"/>
      <c r="E22" t="e">
        <f t="shared" si="1"/>
        <v>#DIV/0!</v>
      </c>
      <c r="F22" t="e">
        <f>SQRT(C15/E22)</f>
        <v>#DIV/0!</v>
      </c>
    </row>
    <row r="28" spans="1:6" x14ac:dyDescent="0.25">
      <c r="A28" s="7"/>
    </row>
    <row r="29" spans="1:6" x14ac:dyDescent="0.25">
      <c r="A29" s="1" t="s">
        <v>16</v>
      </c>
    </row>
    <row r="30" spans="1:6" ht="20.25" x14ac:dyDescent="0.35">
      <c r="A30" s="1" t="s">
        <v>17</v>
      </c>
      <c r="B30" t="e">
        <f>1/B29-B11</f>
        <v>#DIV/0!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Yushi</dc:creator>
  <cp:lastModifiedBy>Ryser, Jeremiah</cp:lastModifiedBy>
  <dcterms:created xsi:type="dcterms:W3CDTF">2021-09-16T16:54:10Z</dcterms:created>
  <dcterms:modified xsi:type="dcterms:W3CDTF">2021-09-16T21:20:33Z</dcterms:modified>
</cp:coreProperties>
</file>