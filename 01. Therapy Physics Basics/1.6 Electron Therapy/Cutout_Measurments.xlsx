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MichaelSalerno\"/>
    </mc:Choice>
  </mc:AlternateContent>
  <bookViews>
    <workbookView xWindow="0" yWindow="0" windowWidth="21570" windowHeight="8085"/>
  </bookViews>
  <sheets>
    <sheet name="Chamber Measurment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4" l="1"/>
  <c r="B18" i="4" l="1"/>
  <c r="B21" i="4"/>
  <c r="C13" i="4"/>
  <c r="E26" i="4" l="1"/>
  <c r="D21" i="4" l="1"/>
  <c r="F26" i="4"/>
</calcChain>
</file>

<file path=xl/comments1.xml><?xml version="1.0" encoding="utf-8"?>
<comments xmlns="http://schemas.openxmlformats.org/spreadsheetml/2006/main">
  <authors>
    <author>Salerno, Michael</author>
  </authors>
  <commentList>
    <comment ref="A5" authorId="0" shapeId="0">
      <text>
        <r>
          <rPr>
            <b/>
            <sz val="9"/>
            <color indexed="81"/>
            <rFont val="Tahoma"/>
            <charset val="1"/>
          </rPr>
          <t>Salerno, Michael:</t>
        </r>
        <r>
          <rPr>
            <sz val="9"/>
            <color indexed="81"/>
            <rFont val="Tahoma"/>
            <charset val="1"/>
          </rPr>
          <t xml:space="preserve">
Based on data book, matches Eclipse Value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Salerno, Michael:</t>
        </r>
        <r>
          <rPr>
            <sz val="9"/>
            <color indexed="81"/>
            <rFont val="Tahoma"/>
            <family val="2"/>
          </rPr>
          <t xml:space="preserve">
Taken from data book, interpolated between 100 and 110 SSD to get to 105 cm, we just took the average</t>
        </r>
      </text>
    </comment>
    <comment ref="B21" authorId="0" shapeId="0">
      <text>
        <r>
          <rPr>
            <b/>
            <sz val="9"/>
            <color indexed="81"/>
            <rFont val="Tahoma"/>
            <charset val="1"/>
          </rPr>
          <t>Salerno, Michael:</t>
        </r>
        <r>
          <rPr>
            <sz val="9"/>
            <color indexed="81"/>
            <rFont val="Tahoma"/>
            <charset val="1"/>
          </rPr>
          <t xml:space="preserve">
Apply inverse square correction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Salerno, Michael:</t>
        </r>
        <r>
          <rPr>
            <sz val="9"/>
            <color indexed="81"/>
            <rFont val="Tahoma"/>
            <charset val="1"/>
          </rPr>
          <t xml:space="preserve">
Reasonable, effective SSD was calculated with just the cone, not cutout</t>
        </r>
      </text>
    </comment>
  </commentList>
</comments>
</file>

<file path=xl/sharedStrings.xml><?xml version="1.0" encoding="utf-8"?>
<sst xmlns="http://schemas.openxmlformats.org/spreadsheetml/2006/main" count="27" uniqueCount="22">
  <si>
    <t>Reading 1</t>
  </si>
  <si>
    <t>Reading 2</t>
  </si>
  <si>
    <t>6MeV</t>
  </si>
  <si>
    <t>Cutout at 1cm</t>
  </si>
  <si>
    <t>Output factor</t>
  </si>
  <si>
    <t>6 MeV</t>
  </si>
  <si>
    <t>SSD Correction Factor</t>
  </si>
  <si>
    <t>Calculated Output Factor</t>
  </si>
  <si>
    <t>%Diff</t>
  </si>
  <si>
    <t>Measured Output Factor</t>
  </si>
  <si>
    <t>Open Field Measurements</t>
  </si>
  <si>
    <t>Depth of Measurement (cm)</t>
  </si>
  <si>
    <t>Cutout Measurements</t>
  </si>
  <si>
    <t>Search for Dmax</t>
  </si>
  <si>
    <t>Eclipse Measurements</t>
  </si>
  <si>
    <t>Open Field at 1.5cm</t>
  </si>
  <si>
    <t>%Diff from Chamber Measurements</t>
  </si>
  <si>
    <t>Chamber Readings vs Calculated Output Factor from Data Book</t>
  </si>
  <si>
    <t>Eclipse dose (cGy) with 572 MU</t>
  </si>
  <si>
    <t>Output from Data Book (6 MeV, 4cm cutout)</t>
  </si>
  <si>
    <t>SSD=100cm,10x10 cone, standard insert, 100 MU, 600 MU/min</t>
  </si>
  <si>
    <t>SSD=105cm,10x10 cone, custom insert (4cm), 100 MU, 600 MU/min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</si>
</sst>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/>
      <top style="thin">
        <color rgb="FF3F3F3F"/>
      </top>
      <bottom style="thin">
        <color rgb="FF7F7F7F"/>
      </bottom>
      <diagonal/>
    </border>
    <border>
      <left/>
      <right style="thin">
        <color rgb="FF7F7F7F"/>
      </right>
      <top style="thin">
        <color rgb="FF3F3F3F"/>
      </top>
      <bottom style="thin">
        <color rgb="FF7F7F7F"/>
      </bottom>
      <diagonal/>
    </border>
  </borders>
  <cellStyleXfs count="9">
    <xf numFmtId="0" fontId="0" fillId="0" borderId="0"/>
    <xf numFmtId="0" fontId="1" fillId="3" borderId="1" applyNumberFormat="0" applyAlignment="0" applyProtection="0"/>
    <xf numFmtId="0" fontId="2" fillId="4" borderId="2" applyNumberFormat="0" applyAlignment="0" applyProtection="0"/>
    <xf numFmtId="0" fontId="3" fillId="3" borderId="2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4" borderId="2" xfId="2"/>
    <xf numFmtId="10" fontId="3" fillId="3" borderId="2" xfId="3" applyNumberFormat="1"/>
    <xf numFmtId="0" fontId="6" fillId="0" borderId="0" xfId="7"/>
    <xf numFmtId="0" fontId="6" fillId="0" borderId="0" xfId="7" applyAlignment="1">
      <alignment horizontal="center" vertical="center"/>
    </xf>
    <xf numFmtId="0" fontId="2" fillId="4" borderId="2" xfId="2" applyAlignment="1">
      <alignment horizontal="center" vertical="center"/>
    </xf>
    <xf numFmtId="0" fontId="9" fillId="0" borderId="0" xfId="7" applyFont="1" applyAlignment="1">
      <alignment horizontal="center" vertical="center"/>
    </xf>
    <xf numFmtId="2" fontId="3" fillId="3" borderId="2" xfId="3" applyNumberFormat="1" applyAlignment="1">
      <alignment horizontal="center" vertical="center"/>
    </xf>
    <xf numFmtId="0" fontId="1" fillId="3" borderId="1" xfId="1" applyAlignment="1">
      <alignment horizontal="center" vertical="center"/>
    </xf>
    <xf numFmtId="0" fontId="4" fillId="0" borderId="3" xfId="4" applyAlignment="1">
      <alignment horizontal="center"/>
    </xf>
    <xf numFmtId="0" fontId="5" fillId="0" borderId="4" xfId="5" applyAlignment="1">
      <alignment horizontal="center"/>
    </xf>
    <xf numFmtId="0" fontId="9" fillId="0" borderId="0" xfId="7" applyFont="1" applyAlignment="1">
      <alignment horizontal="center" vertical="center"/>
    </xf>
    <xf numFmtId="0" fontId="6" fillId="0" borderId="5" xfId="6" applyAlignment="1">
      <alignment horizontal="center"/>
    </xf>
    <xf numFmtId="2" fontId="1" fillId="3" borderId="1" xfId="1" applyNumberFormat="1" applyAlignment="1">
      <alignment horizontal="center"/>
    </xf>
    <xf numFmtId="164" fontId="2" fillId="4" borderId="6" xfId="2" applyNumberFormat="1" applyBorder="1" applyAlignment="1">
      <alignment horizontal="center"/>
    </xf>
    <xf numFmtId="164" fontId="2" fillId="4" borderId="7" xfId="2" applyNumberFormat="1" applyBorder="1" applyAlignment="1">
      <alignment horizontal="center"/>
    </xf>
    <xf numFmtId="0" fontId="5" fillId="0" borderId="0" xfId="5" applyBorder="1" applyAlignment="1">
      <alignment horizontal="center"/>
    </xf>
    <xf numFmtId="0" fontId="6" fillId="0" borderId="0" xfId="7" applyAlignment="1">
      <alignment horizontal="center"/>
    </xf>
    <xf numFmtId="10" fontId="1" fillId="3" borderId="1" xfId="1" applyNumberFormat="1" applyAlignment="1">
      <alignment horizontal="center"/>
    </xf>
    <xf numFmtId="0" fontId="6" fillId="0" borderId="5" xfId="6" applyAlignment="1">
      <alignment horizontal="center" vertical="center"/>
    </xf>
    <xf numFmtId="0" fontId="0" fillId="2" borderId="0" xfId="0" applyFill="1"/>
    <xf numFmtId="164" fontId="12" fillId="4" borderId="2" xfId="8" applyNumberFormat="1" applyFill="1" applyBorder="1" applyAlignment="1">
      <alignment horizontal="center"/>
    </xf>
  </cellXfs>
  <cellStyles count="9">
    <cellStyle name="Calculation" xfId="3" builtinId="22"/>
    <cellStyle name="Heading 1" xfId="4" builtinId="16"/>
    <cellStyle name="Heading 2" xfId="5" builtinId="17"/>
    <cellStyle name="Heading 3" xfId="6" builtinId="18"/>
    <cellStyle name="Heading 4" xfId="7" builtinId="19"/>
    <cellStyle name="Input" xfId="2" builtinId="20"/>
    <cellStyle name="Normal" xfId="0" builtinId="0"/>
    <cellStyle name="Output" xfId="1" builtinId="21"/>
    <cellStyle name="Warning Text" xfId="8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34</xdr:col>
      <xdr:colOff>150400</xdr:colOff>
      <xdr:row>47</xdr:row>
      <xdr:rowOff>189298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6525" y="0"/>
          <a:ext cx="16000000" cy="96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34</xdr:col>
      <xdr:colOff>150400</xdr:colOff>
      <xdr:row>98</xdr:row>
      <xdr:rowOff>94048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9620250"/>
          <a:ext cx="16000000" cy="9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tabSelected="1" zoomScale="70" zoomScaleNormal="70" workbookViewId="0">
      <selection activeCell="B19" sqref="B19:C19"/>
    </sheetView>
  </sheetViews>
  <sheetFormatPr defaultRowHeight="15" x14ac:dyDescent="0.25"/>
  <cols>
    <col min="1" max="1" width="40.5703125" bestFit="1" customWidth="1"/>
    <col min="2" max="2" width="12" customWidth="1"/>
    <col min="3" max="3" width="18.7109375" bestFit="1" customWidth="1"/>
    <col min="4" max="4" width="26.7109375" customWidth="1"/>
    <col min="5" max="5" width="12.85546875" bestFit="1" customWidth="1"/>
    <col min="6" max="6" width="18.140625" customWidth="1"/>
    <col min="7" max="7" width="16.28515625" customWidth="1"/>
  </cols>
  <sheetData>
    <row r="1" spans="1:4" ht="20.25" thickBot="1" x14ac:dyDescent="0.35">
      <c r="A1" s="10" t="s">
        <v>10</v>
      </c>
      <c r="B1" s="10"/>
      <c r="C1" s="10"/>
      <c r="D1" s="10"/>
    </row>
    <row r="2" spans="1:4" ht="18.75" thickTop="1" thickBot="1" x14ac:dyDescent="0.35">
      <c r="A2" s="11" t="s">
        <v>20</v>
      </c>
      <c r="B2" s="11"/>
      <c r="C2" s="11"/>
      <c r="D2" s="11"/>
    </row>
    <row r="3" spans="1:4" ht="16.5" thickTop="1" thickBot="1" x14ac:dyDescent="0.3">
      <c r="A3" s="13" t="s">
        <v>2</v>
      </c>
      <c r="B3" s="13"/>
      <c r="C3" s="13"/>
    </row>
    <row r="4" spans="1:4" x14ac:dyDescent="0.25">
      <c r="A4" s="5" t="s">
        <v>11</v>
      </c>
      <c r="B4" s="4" t="s">
        <v>0</v>
      </c>
      <c r="C4" s="4" t="s">
        <v>1</v>
      </c>
    </row>
    <row r="5" spans="1:4" x14ac:dyDescent="0.25">
      <c r="A5" s="6">
        <v>1.3</v>
      </c>
      <c r="B5" s="2">
        <v>0.65500000000000003</v>
      </c>
      <c r="C5" s="2">
        <v>0.65300000000000002</v>
      </c>
    </row>
    <row r="6" spans="1:4" ht="20.25" thickBot="1" x14ac:dyDescent="0.35">
      <c r="A6" s="10" t="s">
        <v>12</v>
      </c>
      <c r="B6" s="10"/>
      <c r="C6" s="10"/>
      <c r="D6" s="10"/>
    </row>
    <row r="7" spans="1:4" ht="18.75" thickTop="1" thickBot="1" x14ac:dyDescent="0.35">
      <c r="A7" s="11" t="s">
        <v>21</v>
      </c>
      <c r="B7" s="11"/>
      <c r="C7" s="11"/>
      <c r="D7" s="11"/>
    </row>
    <row r="8" spans="1:4" ht="16.5" thickTop="1" thickBot="1" x14ac:dyDescent="0.3">
      <c r="A8" s="13" t="s">
        <v>2</v>
      </c>
      <c r="B8" s="13"/>
      <c r="C8" s="13"/>
    </row>
    <row r="9" spans="1:4" x14ac:dyDescent="0.25">
      <c r="A9" s="12" t="s">
        <v>13</v>
      </c>
      <c r="B9" s="12"/>
      <c r="C9" s="12"/>
      <c r="D9" s="7"/>
    </row>
    <row r="10" spans="1:4" x14ac:dyDescent="0.25">
      <c r="A10" s="5" t="s">
        <v>11</v>
      </c>
      <c r="B10" s="4" t="s">
        <v>0</v>
      </c>
      <c r="C10" s="4" t="s">
        <v>1</v>
      </c>
    </row>
    <row r="11" spans="1:4" x14ac:dyDescent="0.25">
      <c r="A11">
        <v>1.3</v>
      </c>
      <c r="B11">
        <v>0.52</v>
      </c>
      <c r="C11">
        <v>0.52</v>
      </c>
    </row>
    <row r="12" spans="1:4" x14ac:dyDescent="0.25">
      <c r="A12">
        <v>1.2</v>
      </c>
      <c r="B12">
        <v>0.52200000000000002</v>
      </c>
      <c r="C12">
        <v>0.52300000000000002</v>
      </c>
    </row>
    <row r="13" spans="1:4" x14ac:dyDescent="0.25">
      <c r="A13" s="21">
        <v>1.1000000000000001</v>
      </c>
      <c r="B13" s="21">
        <v>0.52400000000000002</v>
      </c>
      <c r="C13" s="21">
        <f>1.048-0.524</f>
        <v>0.52400000000000002</v>
      </c>
    </row>
    <row r="14" spans="1:4" x14ac:dyDescent="0.25">
      <c r="A14">
        <v>1</v>
      </c>
      <c r="B14">
        <v>0.52200000000000002</v>
      </c>
      <c r="C14">
        <v>0.52200000000000002</v>
      </c>
    </row>
    <row r="16" spans="1:4" ht="20.25" thickBot="1" x14ac:dyDescent="0.35">
      <c r="A16" s="10" t="s">
        <v>17</v>
      </c>
      <c r="B16" s="10"/>
      <c r="C16" s="10"/>
      <c r="D16" s="10"/>
    </row>
    <row r="17" spans="1:7" ht="16.5" thickTop="1" thickBot="1" x14ac:dyDescent="0.3">
      <c r="A17" s="1"/>
      <c r="B17" s="13" t="s">
        <v>5</v>
      </c>
      <c r="C17" s="13"/>
      <c r="D17" s="1"/>
    </row>
    <row r="18" spans="1:7" x14ac:dyDescent="0.25">
      <c r="A18" s="4" t="s">
        <v>9</v>
      </c>
      <c r="B18" s="14">
        <f>AVERAGE(B13:C13)/AVERAGE(B5:C5)</f>
        <v>0.80122324159021407</v>
      </c>
      <c r="C18" s="14"/>
    </row>
    <row r="19" spans="1:7" x14ac:dyDescent="0.25">
      <c r="A19" s="4" t="s">
        <v>19</v>
      </c>
      <c r="B19" s="15">
        <v>0.98299999999999998</v>
      </c>
      <c r="C19" s="16"/>
    </row>
    <row r="20" spans="1:7" x14ac:dyDescent="0.25">
      <c r="A20" s="4" t="s">
        <v>6</v>
      </c>
      <c r="B20" s="22">
        <f>(1+0.805)/2</f>
        <v>0.90250000000000008</v>
      </c>
      <c r="C20" s="22"/>
      <c r="D20" s="5" t="s">
        <v>8</v>
      </c>
    </row>
    <row r="21" spans="1:7" x14ac:dyDescent="0.25">
      <c r="A21" s="4" t="s">
        <v>7</v>
      </c>
      <c r="B21" s="14">
        <f>B19*B20</f>
        <v>0.88715750000000004</v>
      </c>
      <c r="C21" s="14"/>
      <c r="D21" s="3">
        <f>(B18-B21)/B21</f>
        <v>-9.6864715013721875E-2</v>
      </c>
    </row>
    <row r="23" spans="1:7" ht="20.25" thickBot="1" x14ac:dyDescent="0.35">
      <c r="A23" s="10" t="s">
        <v>14</v>
      </c>
      <c r="B23" s="10"/>
      <c r="C23" s="10"/>
      <c r="D23" s="10"/>
      <c r="E23" s="10"/>
      <c r="F23" s="10"/>
      <c r="G23" s="10"/>
    </row>
    <row r="24" spans="1:7" ht="18" thickTop="1" x14ac:dyDescent="0.3">
      <c r="A24" s="17" t="s">
        <v>18</v>
      </c>
      <c r="B24" s="17"/>
      <c r="C24" s="17"/>
      <c r="D24" s="17"/>
      <c r="E24" s="17"/>
      <c r="F24" s="17"/>
      <c r="G24" s="17"/>
    </row>
    <row r="25" spans="1:7" ht="15.75" thickBot="1" x14ac:dyDescent="0.3">
      <c r="A25" s="20" t="s">
        <v>5</v>
      </c>
      <c r="B25" s="20"/>
      <c r="C25" s="4" t="s">
        <v>15</v>
      </c>
      <c r="D25" s="4" t="s">
        <v>3</v>
      </c>
      <c r="E25" s="9" t="s">
        <v>4</v>
      </c>
      <c r="F25" s="18" t="s">
        <v>16</v>
      </c>
      <c r="G25" s="18"/>
    </row>
    <row r="26" spans="1:7" ht="15.75" thickBot="1" x14ac:dyDescent="0.3">
      <c r="A26" s="20"/>
      <c r="B26" s="20"/>
      <c r="C26" s="2"/>
      <c r="D26" s="2"/>
      <c r="E26" s="8" t="e">
        <f>D26/C26</f>
        <v>#DIV/0!</v>
      </c>
      <c r="F26" s="19" t="e">
        <f>('Chamber Measurments'!B18-E26)/'Chamber Measurments'!B18</f>
        <v>#DIV/0!</v>
      </c>
      <c r="G26" s="19"/>
    </row>
  </sheetData>
  <mergeCells count="18">
    <mergeCell ref="A24:G24"/>
    <mergeCell ref="A23:G23"/>
    <mergeCell ref="F25:G25"/>
    <mergeCell ref="F26:G26"/>
    <mergeCell ref="A25:B26"/>
    <mergeCell ref="B18:C18"/>
    <mergeCell ref="B21:C21"/>
    <mergeCell ref="B20:C20"/>
    <mergeCell ref="B19:C19"/>
    <mergeCell ref="A16:D16"/>
    <mergeCell ref="B17:C17"/>
    <mergeCell ref="A1:D1"/>
    <mergeCell ref="A6:D6"/>
    <mergeCell ref="A7:D7"/>
    <mergeCell ref="A9:C9"/>
    <mergeCell ref="A2:D2"/>
    <mergeCell ref="A8:C8"/>
    <mergeCell ref="A3:C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Chamber Measurments</vt:lpstr>
    </vt:vector>
  </TitlesOfParts>
  <Company>Penn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Suk Whan P</dc:creator>
  <cp:lastModifiedBy>Salerno, Michael</cp:lastModifiedBy>
  <dcterms:created xsi:type="dcterms:W3CDTF">2021-04-01T21:03:23Z</dcterms:created>
  <dcterms:modified xsi:type="dcterms:W3CDTF">2021-08-18T21:46:03Z</dcterms:modified>
</cp:coreProperties>
</file>